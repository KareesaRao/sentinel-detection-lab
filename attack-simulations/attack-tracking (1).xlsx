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ack Tracking" sheetId="1" state="visible" r:id="rId3"/>
    <sheet name="Detection Rules" sheetId="2" state="visible" r:id="rId4"/>
    <sheet name="Result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<sst xmlns="http://schemas.openxmlformats.org/spreadsheetml/2006/main" count="123" uniqueCount="98">
  <si>
    <t xml:space="preserve">Technique ID</t>
  </si>
  <si>
    <t xml:space="preserve">Technique name</t>
  </si>
  <si>
    <t xml:space="preserve">Tactic</t>
  </si>
  <si>
    <t xml:space="preserve">Command run</t>
  </si>
  <si>
    <t xml:space="preserve">Time (UTC)</t>
  </si>
  <si>
    <t xml:space="preserve">Expected log source</t>
  </si>
  <si>
    <t xml:space="preserve">Detected</t>
  </si>
  <si>
    <t xml:space="preserve">Detected by</t>
  </si>
  <si>
    <t xml:space="preserve">Notes</t>
  </si>
  <si>
    <t xml:space="preserve">T1059.001</t>
  </si>
  <si>
    <t xml:space="preserve">Encoded PowerShell</t>
  </si>
  <si>
    <t xml:space="preserve">Execution</t>
  </si>
  <si>
    <t xml:space="preserve">powershell.exe -NoProfile -EncodedCommand &lt;base64 of: Write-Output "lab-test-T1059.001"; whoami&gt;</t>
  </si>
  <si>
    <t xml:space="preserve">2026-10-15 14:49</t>
  </si>
  <si>
    <t xml:space="preserve">Sysmon Event ID 1</t>
  </si>
  <si>
    <t xml:space="preserve">Y</t>
  </si>
  <si>
    <t xml:space="preserve">Custom KQL query (Event table)</t>
  </si>
  <si>
    <t xml:space="preserve">Atomic test #15 failed on a missing helper function, so I ran an equivalent encoded command by hand. Time taken from TimeGenerated in Logs. Verification batch after rule deployment: incident #18 (High), first activity 22:10:27 UTC.</t>
  </si>
  <si>
    <t xml:space="preserve">T1053.005</t>
  </si>
  <si>
    <t xml:space="preserve">Scheduled task persistence</t>
  </si>
  <si>
    <t xml:space="preserve">Persistence</t>
  </si>
  <si>
    <t xml:space="preserve">schtasks /create /tn "LabTestTask" /tr "cmd.exe /c whoami" /sc daily /st 03:00 /f</t>
  </si>
  <si>
    <t xml:space="preserve">2026-10-15 16:52</t>
  </si>
  <si>
    <t xml:space="preserve">Sysmon Event ID 1; Security Event 4698</t>
  </si>
  <si>
    <t xml:space="preserve">Custom KQL query (Sysmon Event ID 1)</t>
  </si>
  <si>
    <t xml:space="preserve">schtasks.exe /create captured at 16:52:09 UTC. Security Event 4698 not checked yet. Verification batch: incident #17 (Medium), first activity 22:10:28 UTC; the benign NightlyBackup task at 22:09:57 raised no incident.</t>
  </si>
  <si>
    <t xml:space="preserve">T1547.001</t>
  </si>
  <si>
    <t xml:space="preserve">Registry run key persistence</t>
  </si>
  <si>
    <t xml:space="preserve">reg add HKCU\Software\Microsoft\Windows\CurrentVersion\Run /v LabTest /t REG_SZ /d C:\Windows\System32\cmd.exe /f</t>
  </si>
  <si>
    <t xml:space="preserve">2026-10-15 16:53</t>
  </si>
  <si>
    <t xml:space="preserve">Sysmon Event ID 1 and 13</t>
  </si>
  <si>
    <t xml:space="preserve">Custom KQL query (Sysmon Event ID 13 and 1)</t>
  </si>
  <si>
    <t xml:space="preserve">Registry SetValue captured at 16:53:07 UTC (Sysmon config tags it T1060, the older ID for run keys). reg.exe add at 16:53:07 and cleanup delete at 16:53:40. A second SetValue at 16:53:17 is not explained by my commands: expand that row and check TargetObject and Image. Verification batch: incident #20 (Medium).</t>
  </si>
  <si>
    <t xml:space="preserve">T1003</t>
  </si>
  <si>
    <t xml:space="preserve">OS credential dumping (LSASS)</t>
  </si>
  <si>
    <t xml:space="preserve">Credential Access</t>
  </si>
  <si>
    <t xml:space="preserve">Sysmon Event ID 10</t>
  </si>
  <si>
    <t xml:space="preserve">Planned</t>
  </si>
  <si>
    <t xml:space="preserve">T1070.001</t>
  </si>
  <si>
    <t xml:space="preserve">Clear Windows event logs</t>
  </si>
  <si>
    <t xml:space="preserve">Defense Evasion</t>
  </si>
  <si>
    <t xml:space="preserve">wevtutil cl Security</t>
  </si>
  <si>
    <t xml:space="preserve">2026-10-15 21:47 (batch 21:44 to 21:47)</t>
  </si>
  <si>
    <t xml:space="preserve">Security Event 1102</t>
  </si>
  <si>
    <t xml:space="preserve">Sentinel analytics rule: Lab - Security log cleared (T1070.001)</t>
  </si>
  <si>
    <t xml:space="preserve">Incident #15, High, created 22:19:04 UTC on 2026-10-15. Verified in the incident list. Command line not separately inspected; detection confirmed by incident title and rule logic.</t>
  </si>
  <si>
    <t xml:space="preserve">T1110</t>
  </si>
  <si>
    <t xml:space="preserve">Brute force logons</t>
  </si>
  <si>
    <t xml:space="preserve">net use \\127.0.0.1\IPC$ /user:labfakeuser WrongPass1 (repeated 6 times, fake account)</t>
  </si>
  <si>
    <t xml:space="preserve">2026-10-15 21:44 to 21:47</t>
  </si>
  <si>
    <t xml:space="preserve">Security Event 4625</t>
  </si>
  <si>
    <t xml:space="preserve">Sentinel analytics rule: Lab - Repeated failed logons (T1110)</t>
  </si>
  <si>
    <t xml:space="preserve">Incident #19, Medium, created 22:19:12 UTC on 2026-10-15. Six failed logons against a non-existent local account. Verified in the incident list.</t>
  </si>
  <si>
    <t xml:space="preserve">T1087</t>
  </si>
  <si>
    <t xml:space="preserve">Account discovery</t>
  </si>
  <si>
    <t xml:space="preserve">Discovery</t>
  </si>
  <si>
    <t xml:space="preserve">net user; net localgroup administrators; whoami /all</t>
  </si>
  <si>
    <t xml:space="preserve">Sentinel analytics rule: Lab - Account discovery commands (T1087)</t>
  </si>
  <si>
    <t xml:space="preserve">Incident #16, Low, created 22:19:07 UTC on 2026-10-15. Verified in the incident list.</t>
  </si>
  <si>
    <t xml:space="preserve">T1562.001</t>
  </si>
  <si>
    <t xml:space="preserve">Disable security tools</t>
  </si>
  <si>
    <t xml:space="preserve">Legend</t>
  </si>
  <si>
    <t xml:space="preserve">Blue text = values you type in. Yellow fill = cells still waiting for you to fill in.</t>
  </si>
  <si>
    <t xml:space="preserve">Detected: Y = your query or rule caught it, N = it did not, Pending = run but not checked yet, Planned = not run yet.</t>
  </si>
  <si>
    <t xml:space="preserve">Time (UTC): copy the TimeGenerated [UTC] value from the matching row in Logs, so it lines up with your queries.</t>
  </si>
  <si>
    <t xml:space="preserve">Row 2 is real: the time and result come from my Logs screenshot. Add new rows directly under the last row. Rows 6 to 8 were marked Y after confirming incidents 15, 16 and 19 in the Defender incident list.</t>
  </si>
  <si>
    <t xml:space="preserve">Rule name</t>
  </si>
  <si>
    <t xml:space="preserve">Severity</t>
  </si>
  <si>
    <t xml:space="preserve">Benign events flagged before tuning</t>
  </si>
  <si>
    <t xml:space="preserve">Benign events flagged after tuning</t>
  </si>
  <si>
    <t xml:space="preserve">Benign events no longer flagged</t>
  </si>
  <si>
    <t xml:space="preserve">Tuning notes</t>
  </si>
  <si>
    <t xml:space="preserve">How to use</t>
  </si>
  <si>
    <t xml:space="preserve">Encoded PowerShell execution</t>
  </si>
  <si>
    <t xml:space="preserve">High</t>
  </si>
  <si>
    <t xml:space="preserve">Excluded commands whose parent runs from C:\AdminScripts. The malicious encoded command was still caught. Trade-off: an attacker who can write to that folder could hide there.</t>
  </si>
  <si>
    <t xml:space="preserve">Counts are how many times each rule's query matched events in a short test window (a benign admin run and a simulated attack run), not alert counts. Fill the yellow cells only for rules you actually measure.</t>
  </si>
  <si>
    <t xml:space="preserve">Scheduled task created</t>
  </si>
  <si>
    <t xml:space="preserve">Medium</t>
  </si>
  <si>
    <t xml:space="preserve">Excluded tasks that run scripts from C:\AdminScripts. The malicious task was still caught. Same allowlist trade-off.</t>
  </si>
  <si>
    <t xml:space="preserve">Registry run key added</t>
  </si>
  <si>
    <t xml:space="preserve">Not tuned: no benign run-key activity was tested.</t>
  </si>
  <si>
    <t xml:space="preserve">Repeated failed logons</t>
  </si>
  <si>
    <t xml:space="preserve">Not tuned yet.</t>
  </si>
  <si>
    <t xml:space="preserve">Account discovery commands</t>
  </si>
  <si>
    <t xml:space="preserve">Low</t>
  </si>
  <si>
    <t xml:space="preserve">Security log cleared</t>
  </si>
  <si>
    <t xml:space="preserve">Lab results (updates from the other tabs)</t>
  </si>
  <si>
    <t xml:space="preserve">Metric</t>
  </si>
  <si>
    <t xml:space="preserve">Value</t>
  </si>
  <si>
    <t xml:space="preserve">Techniques simulated</t>
  </si>
  <si>
    <t xml:space="preserve">Techniques detected</t>
  </si>
  <si>
    <t xml:space="preserve">Detection rate</t>
  </si>
  <si>
    <t xml:space="preserve">Techniques still planned</t>
  </si>
  <si>
    <t xml:space="preserve">Custom rules written</t>
  </si>
  <si>
    <t xml:space="preserve">Benign events flagged before tuning (total)</t>
  </si>
  <si>
    <t xml:space="preserve">Benign events flagged after tuning (total)</t>
  </si>
  <si>
    <t xml:space="preserve">Only rules with both counts filled in are included. Two of six rules were tuned and measured in a small lab test.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</si>
</sst>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48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1"/>
    <col collapsed="false" customWidth="true" hidden="false" outlineLevel="0" max="8" min="8" style="1" width="28"/>
    <col collapsed="false" customWidth="true" hidden="false" outlineLevel="0" max="9" min="9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4.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23.25" hidden="false" customHeight="tru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3" t="s">
        <v>25</v>
      </c>
    </row>
    <row r="4" customFormat="false" ht="34.5" hidden="false" customHeight="true" outlineLevel="0" collapsed="false">
      <c r="A4" s="3" t="s">
        <v>26</v>
      </c>
      <c r="B4" s="3" t="s">
        <v>27</v>
      </c>
      <c r="C4" s="3" t="s">
        <v>20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31</v>
      </c>
      <c r="I4" s="3" t="s">
        <v>32</v>
      </c>
    </row>
    <row r="5" customFormat="false" ht="15" hidden="false" customHeight="true" outlineLevel="0" collapsed="false">
      <c r="A5" s="3" t="s">
        <v>33</v>
      </c>
      <c r="B5" s="3" t="s">
        <v>34</v>
      </c>
      <c r="C5" s="3" t="s">
        <v>35</v>
      </c>
      <c r="D5" s="4"/>
      <c r="E5" s="4"/>
      <c r="F5" s="3" t="s">
        <v>36</v>
      </c>
      <c r="G5" s="4" t="s">
        <v>37</v>
      </c>
      <c r="H5" s="4"/>
      <c r="I5" s="4"/>
    </row>
    <row r="6" customFormat="false" ht="15" hidden="false" customHeight="true" outlineLevel="0" collapsed="false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15</v>
      </c>
      <c r="H6" s="4" t="s">
        <v>44</v>
      </c>
      <c r="I6" s="3" t="s">
        <v>45</v>
      </c>
    </row>
    <row r="7" customFormat="false" ht="15" hidden="false" customHeight="true" outlineLevel="0" collapsed="false">
      <c r="A7" s="3" t="s">
        <v>46</v>
      </c>
      <c r="B7" s="3" t="s">
        <v>47</v>
      </c>
      <c r="C7" s="3" t="s">
        <v>35</v>
      </c>
      <c r="D7" s="3" t="s">
        <v>48</v>
      </c>
      <c r="E7" s="3" t="s">
        <v>49</v>
      </c>
      <c r="F7" s="3" t="s">
        <v>50</v>
      </c>
      <c r="G7" s="3" t="s">
        <v>15</v>
      </c>
      <c r="H7" s="4" t="s">
        <v>51</v>
      </c>
      <c r="I7" s="3" t="s">
        <v>52</v>
      </c>
    </row>
    <row r="8" customFormat="false" ht="15" hidden="false" customHeight="true" outlineLevel="0" collapsed="false">
      <c r="A8" s="3" t="s">
        <v>53</v>
      </c>
      <c r="B8" s="3" t="s">
        <v>54</v>
      </c>
      <c r="C8" s="3" t="s">
        <v>55</v>
      </c>
      <c r="D8" s="3" t="s">
        <v>56</v>
      </c>
      <c r="E8" s="3" t="s">
        <v>49</v>
      </c>
      <c r="F8" s="3" t="s">
        <v>14</v>
      </c>
      <c r="G8" s="3" t="s">
        <v>15</v>
      </c>
      <c r="H8" s="4" t="s">
        <v>57</v>
      </c>
      <c r="I8" s="3" t="s">
        <v>58</v>
      </c>
    </row>
    <row r="9" customFormat="false" ht="15" hidden="false" customHeight="true" outlineLevel="0" collapsed="false">
      <c r="A9" s="3" t="s">
        <v>59</v>
      </c>
      <c r="B9" s="3" t="s">
        <v>60</v>
      </c>
      <c r="C9" s="3" t="s">
        <v>40</v>
      </c>
      <c r="D9" s="4"/>
      <c r="E9" s="4"/>
      <c r="F9" s="3" t="s">
        <v>14</v>
      </c>
      <c r="G9" s="4" t="s">
        <v>37</v>
      </c>
      <c r="H9" s="4"/>
      <c r="I9" s="4"/>
    </row>
    <row r="12" customFormat="false" ht="15" hidden="false" customHeight="true" outlineLevel="0" collapsed="false">
      <c r="A12" s="5" t="s">
        <v>61</v>
      </c>
    </row>
    <row r="13" customFormat="false" ht="15" hidden="false" customHeight="true" outlineLevel="0" collapsed="false">
      <c r="A13" s="6" t="s">
        <v>62</v>
      </c>
    </row>
    <row r="14" customFormat="false" ht="15" hidden="false" customHeight="true" outlineLevel="0" collapsed="false">
      <c r="A14" s="6" t="s">
        <v>63</v>
      </c>
    </row>
    <row r="15" customFormat="false" ht="15" hidden="false" customHeight="true" outlineLevel="0" collapsed="false">
      <c r="A15" s="6" t="s">
        <v>64</v>
      </c>
    </row>
    <row r="16" customFormat="false" ht="15" hidden="false" customHeight="true" outlineLevel="0" collapsed="false">
      <c r="A16" s="6" t="s">
        <v>65</v>
      </c>
    </row>
  </sheetData>
  <dataValidations count="1">
    <dataValidation allowBlank="true" errorStyle="stop" operator="between" showDropDown="false" showErrorMessage="false" showInputMessage="false" sqref="G2:G39" type="list">
      <formula1>"Y,N,Pending,Planned"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50"/>
    <col collapsed="false" customWidth="true" hidden="false" outlineLevel="0" max="9" min="9" style="1" width="50"/>
  </cols>
  <sheetData>
    <row r="1" customFormat="false" ht="15" hidden="false" customHeight="true" outlineLevel="0" collapsed="false">
      <c r="A1" s="2" t="s">
        <v>66</v>
      </c>
      <c r="B1" s="2" t="s">
        <v>0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I1" s="7" t="s">
        <v>72</v>
      </c>
    </row>
    <row r="2" customFormat="false" ht="15" hidden="false" customHeight="true" outlineLevel="0" collapsed="false">
      <c r="A2" s="3" t="s">
        <v>73</v>
      </c>
      <c r="B2" s="3" t="s">
        <v>9</v>
      </c>
      <c r="C2" s="3" t="s">
        <v>74</v>
      </c>
      <c r="D2" s="3" t="n">
        <v>5</v>
      </c>
      <c r="E2" s="3" t="n">
        <v>0</v>
      </c>
      <c r="F2" s="8" t="n">
        <f aca="false">IF(AND(ISNUMBER(D2),ISNUMBER(E2)),IFERROR((D2-E2)/D2,0),"")</f>
        <v>1</v>
      </c>
      <c r="G2" s="3" t="s">
        <v>75</v>
      </c>
      <c r="I2" s="9" t="s">
        <v>76</v>
      </c>
    </row>
    <row r="3" customFormat="false" ht="15" hidden="false" customHeight="true" outlineLevel="0" collapsed="false">
      <c r="A3" s="3" t="s">
        <v>77</v>
      </c>
      <c r="B3" s="3" t="s">
        <v>18</v>
      </c>
      <c r="C3" s="3" t="s">
        <v>78</v>
      </c>
      <c r="D3" s="3" t="n">
        <v>3</v>
      </c>
      <c r="E3" s="3" t="n">
        <v>0</v>
      </c>
      <c r="F3" s="8" t="n">
        <f aca="false">IF(AND(ISNUMBER(D3),ISNUMBER(E3)),IFERROR((D3-E3)/D3,0),"")</f>
        <v>1</v>
      </c>
      <c r="G3" s="3" t="s">
        <v>79</v>
      </c>
    </row>
    <row r="4" customFormat="false" ht="15" hidden="false" customHeight="true" outlineLevel="0" collapsed="false">
      <c r="A4" s="3" t="s">
        <v>80</v>
      </c>
      <c r="B4" s="3" t="s">
        <v>26</v>
      </c>
      <c r="C4" s="3" t="s">
        <v>78</v>
      </c>
      <c r="D4" s="4"/>
      <c r="E4" s="4"/>
      <c r="F4" s="8" t="str">
        <f aca="false">IF(AND(ISNUMBER(D4),ISNUMBER(E4)),IFERROR((D4-E4)/D4,0),"")</f>
        <v/>
      </c>
      <c r="G4" s="4" t="s">
        <v>81</v>
      </c>
    </row>
    <row r="5" customFormat="false" ht="15" hidden="false" customHeight="true" outlineLevel="0" collapsed="false">
      <c r="A5" s="3" t="s">
        <v>82</v>
      </c>
      <c r="B5" s="3" t="s">
        <v>46</v>
      </c>
      <c r="C5" s="3" t="s">
        <v>78</v>
      </c>
      <c r="D5" s="4"/>
      <c r="E5" s="4"/>
      <c r="F5" s="8" t="str">
        <f aca="false">IF(AND(ISNUMBER(D5),ISNUMBER(E5)),IFERROR((D5-E5)/D5,0),"")</f>
        <v/>
      </c>
      <c r="G5" s="3" t="s">
        <v>83</v>
      </c>
    </row>
    <row r="6" customFormat="false" ht="15" hidden="false" customHeight="true" outlineLevel="0" collapsed="false">
      <c r="A6" s="3" t="s">
        <v>84</v>
      </c>
      <c r="B6" s="3" t="s">
        <v>53</v>
      </c>
      <c r="C6" s="3" t="s">
        <v>85</v>
      </c>
      <c r="D6" s="4"/>
      <c r="E6" s="4"/>
      <c r="F6" s="8" t="str">
        <f aca="false">IF(AND(ISNUMBER(D6),ISNUMBER(E6)),IFERROR((D6-E6)/D6,0),"")</f>
        <v/>
      </c>
      <c r="G6" s="3" t="s">
        <v>83</v>
      </c>
    </row>
    <row r="7" customFormat="false" ht="15" hidden="false" customHeight="true" outlineLevel="0" collapsed="false">
      <c r="A7" s="3" t="s">
        <v>86</v>
      </c>
      <c r="B7" s="3" t="s">
        <v>38</v>
      </c>
      <c r="C7" s="3" t="s">
        <v>74</v>
      </c>
      <c r="D7" s="4"/>
      <c r="E7" s="4"/>
      <c r="F7" s="8" t="str">
        <f aca="false">IF(AND(ISNUMBER(D7),ISNUMBER(E7)),IFERROR((D7-E7)/D7,0),"")</f>
        <v/>
      </c>
      <c r="G7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0" t="s">
        <v>87</v>
      </c>
    </row>
    <row r="2" customFormat="false" ht="15" hidden="false" customHeight="true" outlineLevel="0" collapsed="false">
      <c r="A2" s="11" t="s">
        <v>88</v>
      </c>
      <c r="B2" s="11" t="s">
        <v>89</v>
      </c>
    </row>
    <row r="3" customFormat="false" ht="15" hidden="false" customHeight="true" outlineLevel="0" collapsed="false">
      <c r="A3" s="12" t="s">
        <v>90</v>
      </c>
      <c r="B3" s="13" t="n">
        <f aca="false">COUNTIF('Attack Tracking'!G2:G200,"Y")+COUNTIF('Attack Tracking'!G2:G200,"N")+COUNTIF('Attack Tracking'!G2:G200,"Pending")</f>
        <v>6</v>
      </c>
    </row>
    <row r="4" customFormat="false" ht="15" hidden="false" customHeight="true" outlineLevel="0" collapsed="false">
      <c r="A4" s="12" t="s">
        <v>91</v>
      </c>
      <c r="B4" s="13" t="n">
        <f aca="false">COUNTIF('Attack Tracking'!G2:G200,"Y")</f>
        <v>6</v>
      </c>
    </row>
    <row r="5" customFormat="false" ht="15" hidden="false" customHeight="true" outlineLevel="0" collapsed="false">
      <c r="A5" s="12" t="s">
        <v>92</v>
      </c>
      <c r="B5" s="14" t="n">
        <f aca="false">IFERROR(B4/B3,0)</f>
        <v>1</v>
      </c>
    </row>
    <row r="6" customFormat="false" ht="15" hidden="false" customHeight="true" outlineLevel="0" collapsed="false">
      <c r="A6" s="12" t="s">
        <v>93</v>
      </c>
      <c r="B6" s="13" t="n">
        <f aca="false">COUNTIF('Attack Tracking'!G2:G200,"Planned")</f>
        <v>2</v>
      </c>
    </row>
    <row r="7" customFormat="false" ht="15" hidden="false" customHeight="true" outlineLevel="0" collapsed="false">
      <c r="A7" s="12" t="s">
        <v>94</v>
      </c>
      <c r="B7" s="13" t="n">
        <f aca="false">COUNTA('Detection Rules'!A2:A100)</f>
        <v>6</v>
      </c>
    </row>
    <row r="8" customFormat="false" ht="15" hidden="false" customHeight="true" outlineLevel="0" collapsed="false">
      <c r="A8" s="12" t="s">
        <v>95</v>
      </c>
      <c r="B8" s="13" t="n">
        <f aca="false">SUM('Detection Rules'!D2:D100)</f>
        <v>8</v>
      </c>
    </row>
    <row r="9" customFormat="false" ht="15" hidden="false" customHeight="true" outlineLevel="0" collapsed="false">
      <c r="A9" s="12" t="s">
        <v>96</v>
      </c>
      <c r="B9" s="13" t="n">
        <f aca="false">SUM('Detection Rules'!E2:E100)</f>
        <v>0</v>
      </c>
    </row>
    <row r="10" customFormat="false" ht="15" hidden="false" customHeight="true" outlineLevel="0" collapsed="false">
      <c r="A10" s="12" t="s">
        <v>70</v>
      </c>
      <c r="B10" s="14" t="n">
        <f aca="false">IFERROR((B8-B9)/B8,0)</f>
        <v>1</v>
      </c>
    </row>
    <row r="12" customFormat="false" ht="15" hidden="false" customHeight="true" outlineLevel="0" collapsed="false">
      <c r="A12" s="6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2026-10-15T16:51:05Z</dcterms:created>
  <dc:creator>openpyxl</dc:creator>
  <dc:description/>
  <dc:language>en-US</dc:language>
  <cp:lastModifiedBy/>
  <dcterms:modified xsi:type="dcterms:W3CDTF">2026-10-15T23:26:07Z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